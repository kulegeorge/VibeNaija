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mc:AlternateContent xmlns:mc="http://schemas.openxmlformats.org/markup-compatibility/2006">
    <mc:Choice Requires="x15">
      <x15ac:absPath xmlns:x15ac="http://schemas.microsoft.com/office/spreadsheetml/2010/11/ac" url="F:\Dream\订单要素\下一个 PI 276布隆迪（283~287可用，288法国288之后的都可用）\重点开发中的客户\Nigeria\Darlez Nigeria Ltd\"/>
    </mc:Choice>
  </mc:AlternateContent>
  <xr:revisionPtr revIDLastSave="0" documentId="13_ncr:1_{267791AD-5351-4943-99A0-1BDC40001671}" xr6:coauthVersionLast="47" xr6:coauthVersionMax="47" xr10:uidLastSave="{00000000-0000-0000-0000-000000000000}"/>
  <bookViews>
    <workbookView xWindow="-96" yWindow="-96" windowWidth="17472" windowHeight="10272" xr2:uid="{00000000-000D-0000-FFFF-FFFF00000000}"/>
  </bookViews>
  <sheets>
    <sheet name="FIAPresto" sheetId="1" r:id="rId1"/>
    <sheet name="Sheet1" sheetId="2" state="hidden" r:id="rId2"/>
  </sheets>
  <definedNames>
    <definedName name="_xlnm._FilterDatabase" localSheetId="0" hidden="1">FIAPresto!$B$3:$II$59</definedName>
    <definedName name="_xlnm.Print_Area" localSheetId="0">FIAPresto!$A$1:$G$59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 r="G18" i="1"/>
  <c r="G26" i="1"/>
  <c r="G54" i="1"/>
  <c r="G55" i="1"/>
  <c r="G56" i="1"/>
  <c r="G57" i="1"/>
  <c r="G58" i="1"/>
  <c r="G53" i="1"/>
  <c r="G59" i="1"/>
  <c r="G52" i="1"/>
  <c r="G51" i="1"/>
  <c r="G50" i="1"/>
  <c r="G49" i="1"/>
  <c r="G48" i="1"/>
  <c r="G47" i="1"/>
  <c r="G46" i="1"/>
  <c r="G45" i="1"/>
  <c r="G44" i="1"/>
  <c r="G43" i="1"/>
  <c r="G42" i="1"/>
  <c r="G41" i="1"/>
  <c r="G40" i="1"/>
  <c r="G39" i="1"/>
  <c r="G38" i="1"/>
  <c r="G37" i="1"/>
  <c r="G36" i="1"/>
  <c r="G35" i="1"/>
  <c r="G34" i="1"/>
  <c r="G33" i="1"/>
  <c r="G32" i="1"/>
  <c r="G31" i="1"/>
  <c r="G30" i="1"/>
  <c r="G29" i="1"/>
  <c r="G28" i="1"/>
  <c r="G27" i="1"/>
  <c r="G25" i="1"/>
  <c r="G24" i="1"/>
  <c r="G23" i="1"/>
  <c r="G21" i="1"/>
  <c r="G20" i="1"/>
  <c r="G19" i="1"/>
  <c r="G17" i="1"/>
  <c r="G16" i="1"/>
  <c r="G15" i="1"/>
  <c r="G14" i="1"/>
  <c r="G13" i="1"/>
  <c r="G12" i="1"/>
  <c r="G11" i="1"/>
  <c r="G10" i="1"/>
  <c r="G9" i="1"/>
  <c r="G8" i="1"/>
  <c r="G7" i="1"/>
  <c r="G6" i="1"/>
</calcChain>
</file>

<file path=xl/sharedStrings.xml><?xml version="1.0" encoding="utf-8"?>
<sst xmlns="http://schemas.openxmlformats.org/spreadsheetml/2006/main" count="335" uniqueCount="238">
  <si>
    <t>Category</t>
  </si>
  <si>
    <t>Full Product Name</t>
  </si>
  <si>
    <t>Abbr.</t>
  </si>
  <si>
    <t>REF No.</t>
  </si>
  <si>
    <t>VFPO04</t>
  </si>
  <si>
    <t>25T/Kit</t>
  </si>
  <si>
    <t>NT-pro BNP Rapid Test Kit (FIA)</t>
  </si>
  <si>
    <t>VFPO05</t>
  </si>
  <si>
    <t>CK-MB Rapid Test Kit (FIA)</t>
  </si>
  <si>
    <t>CK-MB</t>
  </si>
  <si>
    <t>VFPO18</t>
  </si>
  <si>
    <t>D-Dimer</t>
  </si>
  <si>
    <t>VFPO08</t>
  </si>
  <si>
    <t>Myoglobin (Myo) Rapid Test Kit (FIA)</t>
  </si>
  <si>
    <t>Myo</t>
  </si>
  <si>
    <t>VFPO12</t>
  </si>
  <si>
    <t>Tumor Markers</t>
  </si>
  <si>
    <t>Free Prostate Specific Antigen (fPSA) Rapid Test Kit (FIA)</t>
  </si>
  <si>
    <t>fPSA</t>
  </si>
  <si>
    <t>VFPO40</t>
  </si>
  <si>
    <t>tPSA</t>
  </si>
  <si>
    <t>VFPO61</t>
  </si>
  <si>
    <t>Alpha-fetoprotein (AFP) Rapid Test Kit (FIA)</t>
  </si>
  <si>
    <t>AFP</t>
  </si>
  <si>
    <t>VFPO51</t>
  </si>
  <si>
    <t>Carcinoembryonic Antigen (CEA) Rapid Test Kit (FIA)</t>
  </si>
  <si>
    <t>CEA</t>
  </si>
  <si>
    <t>VFPO52</t>
  </si>
  <si>
    <t>Pepsinogen I (PGI) Rapid Test Kit (FIA)</t>
  </si>
  <si>
    <t>PGI</t>
  </si>
  <si>
    <t>VFPO62</t>
  </si>
  <si>
    <t>Pepsinogen II (PGII) Rapid Test Kit (FIA)</t>
  </si>
  <si>
    <t>VFPO63</t>
  </si>
  <si>
    <t>β-HCG Rapid Test Kit (FIA)</t>
  </si>
  <si>
    <t>VFPO15</t>
  </si>
  <si>
    <t>Progesterone (PROG) Rapid Test Kit (FIA)</t>
  </si>
  <si>
    <t>VFPO36</t>
  </si>
  <si>
    <t>Prolactin (PRL) Rapid Test Kit (FIA)</t>
  </si>
  <si>
    <t>PRL</t>
  </si>
  <si>
    <t>VFPO37</t>
  </si>
  <si>
    <t>Luteinizing Hormone(LH) Rapid Test Kit (FIA)</t>
  </si>
  <si>
    <t>LH</t>
  </si>
  <si>
    <t>VFPO38</t>
  </si>
  <si>
    <t>Follicle Stimulating Hormone (FSH) Rapid Test Kit (FIA)</t>
  </si>
  <si>
    <t>FSH</t>
  </si>
  <si>
    <t>VFPO39</t>
  </si>
  <si>
    <t>Bone Metabolism</t>
  </si>
  <si>
    <t>VFPO31</t>
  </si>
  <si>
    <t>Renal Injury Marker</t>
  </si>
  <si>
    <t>VFPO26</t>
  </si>
  <si>
    <t>Inflammation</t>
  </si>
  <si>
    <t>VFPO29</t>
  </si>
  <si>
    <t>Procalcitonin (PCT) Rapid Test Kit (FIA)</t>
  </si>
  <si>
    <t>PCT</t>
  </si>
  <si>
    <t>VFPO09</t>
  </si>
  <si>
    <t>C-reactive Protein (hsCRP&amp;CRP) Rapid Test Kit (FIA)</t>
  </si>
  <si>
    <t>hsCRP&amp;CRP</t>
  </si>
  <si>
    <t>VFPO11</t>
  </si>
  <si>
    <t>Interleukin-6 (IL-6) Rapid Test Kit (FIA)</t>
  </si>
  <si>
    <t>IL-6</t>
  </si>
  <si>
    <t>VFPO34</t>
  </si>
  <si>
    <t>Thyroid</t>
  </si>
  <si>
    <t>Thyroid Stimulating Hormone (TSH) Rapid Test Kit (FIA)</t>
  </si>
  <si>
    <t>TSH</t>
  </si>
  <si>
    <t>VFPO01</t>
  </si>
  <si>
    <t>Triiodothyronine (T3) Rapid Test Kit (IFA)</t>
  </si>
  <si>
    <t>T3</t>
  </si>
  <si>
    <t>VFPO02</t>
  </si>
  <si>
    <t>Thyroxine (T4) Rapid Test Kit (IFA)</t>
  </si>
  <si>
    <t>T4</t>
  </si>
  <si>
    <t>VFPO03</t>
  </si>
  <si>
    <t>FT3</t>
  </si>
  <si>
    <t>VFPO13</t>
  </si>
  <si>
    <t>FT4</t>
  </si>
  <si>
    <t>VFPO14</t>
  </si>
  <si>
    <t>Auto-immune</t>
  </si>
  <si>
    <t>Immunoglobulin E (IgE) Rapid Test Kit(FIA)</t>
  </si>
  <si>
    <t>VFPO60</t>
  </si>
  <si>
    <t>Anemia</t>
  </si>
  <si>
    <t>VFPO21</t>
  </si>
  <si>
    <t>Diabetes</t>
  </si>
  <si>
    <t>VFPO19</t>
  </si>
  <si>
    <t>HbA1c</t>
  </si>
  <si>
    <t>VFPO06</t>
  </si>
  <si>
    <t>FLU A/B Ag Rapid Kit (FIA)</t>
  </si>
  <si>
    <t>Dengue IgG/IgM</t>
  </si>
  <si>
    <t>Dengue NS1 Ag Rapid Test Kit (FIA)</t>
  </si>
  <si>
    <t>Dengue NS1 Ag</t>
  </si>
  <si>
    <t>BNP</t>
  </si>
  <si>
    <t>Brain Natriuretic Peptide (BNP) Rapid Test Kit (FIA)</t>
  </si>
  <si>
    <t>VFPO41</t>
  </si>
  <si>
    <t>cassette</t>
  </si>
  <si>
    <t>PCT&amp;IL-6</t>
  </si>
  <si>
    <t>Procalcitonin/Interleukin-6 (PCT&amp;IL-6) Rapid Test Kit (FIA)</t>
  </si>
  <si>
    <t>VFPO42</t>
  </si>
  <si>
    <t>CRP&amp;SAA</t>
  </si>
  <si>
    <t>C-reactive Protein /Serum Amyloid A (CRP&amp;SAA) Rapid Test Kit (FIA)</t>
  </si>
  <si>
    <t>VFPO43</t>
  </si>
  <si>
    <t>D-Dimer/cTnI/NT-pro BNP</t>
  </si>
  <si>
    <t>D-Dimer/cTnI/NT-pro BNP Rapid Test Kit (FIA)</t>
  </si>
  <si>
    <t>VFPO44</t>
  </si>
  <si>
    <t>E2</t>
  </si>
  <si>
    <t>Estradiol (E2) Rapid Test Kit（FIA）</t>
  </si>
  <si>
    <t>VFPO45</t>
  </si>
  <si>
    <t xml:space="preserve">AMH </t>
  </si>
  <si>
    <t>Anti-Müllerian Hormone (AMH) Rapid Test Kit（FIA）</t>
  </si>
  <si>
    <t>VFPO46</t>
  </si>
  <si>
    <t>TES</t>
  </si>
  <si>
    <t>Testosterone (TES) Rapid Test Kit (FIA)</t>
  </si>
  <si>
    <t>VFPO47</t>
  </si>
  <si>
    <t xml:space="preserve">MAU </t>
  </si>
  <si>
    <t>Microalbumin (MAU) Rapid Test Kit (FIA)</t>
  </si>
  <si>
    <t>VFPO48</t>
  </si>
  <si>
    <t>β2-MG</t>
  </si>
  <si>
    <t>β2-microglobulin (β2-MG) Rapid Test Kit (FIA)</t>
  </si>
  <si>
    <t>VFPO49</t>
  </si>
  <si>
    <t>VFPO50</t>
  </si>
  <si>
    <t>PTH</t>
  </si>
  <si>
    <t>Parathyroid Hormone (PTH) Rapid Test Kit (FIA)</t>
  </si>
  <si>
    <t>SHBG</t>
  </si>
  <si>
    <t>Sex hormone-binding globulin (SHBG) Rapid Test Kit (FIA)</t>
  </si>
  <si>
    <t>VFPO53</t>
  </si>
  <si>
    <t>COR</t>
  </si>
  <si>
    <t>Cortisol Rapid Test Kit (FIA)</t>
  </si>
  <si>
    <t>VFPO54</t>
  </si>
  <si>
    <t>CT</t>
  </si>
  <si>
    <t>Calcitonin (CT) Rapid Test Kit (FIA)</t>
  </si>
  <si>
    <t>VFPO55</t>
  </si>
  <si>
    <t>cTnT</t>
  </si>
  <si>
    <t>Cardiac Troponin T (cTnT) Rapid Test Kit (FIA)</t>
  </si>
  <si>
    <t>PGII</t>
  </si>
  <si>
    <t>Package</t>
    <phoneticPr fontId="6" type="noConversion"/>
  </si>
  <si>
    <t>PGII</t>
    <phoneticPr fontId="6" type="noConversion"/>
  </si>
  <si>
    <t>Cardiac Troponin I (cTnl) Rapid Test Kit (FIA)</t>
    <phoneticPr fontId="6" type="noConversion"/>
  </si>
  <si>
    <t>Cardiac</t>
    <phoneticPr fontId="6" type="noConversion"/>
  </si>
  <si>
    <t>TES</t>
    <phoneticPr fontId="6" type="noConversion"/>
  </si>
  <si>
    <t>AMH</t>
    <phoneticPr fontId="6" type="noConversion"/>
  </si>
  <si>
    <t>Hemoglobin A1c (HbA1c) Rapid Test Kit (IFA)</t>
    <phoneticPr fontId="6" type="noConversion"/>
  </si>
  <si>
    <t>Estradiol (E2) Rapid Test Kit (IFA)</t>
    <phoneticPr fontId="6" type="noConversion"/>
  </si>
  <si>
    <t>VFPO43</t>
    <phoneticPr fontId="6" type="noConversion"/>
  </si>
  <si>
    <t>VFPO41</t>
    <phoneticPr fontId="6" type="noConversion"/>
  </si>
  <si>
    <t>VFPO42</t>
    <phoneticPr fontId="6" type="noConversion"/>
  </si>
  <si>
    <t>PROG</t>
    <phoneticPr fontId="6" type="noConversion"/>
  </si>
  <si>
    <t>Free T4 (fT4) Rapid Test Kit (FIA)</t>
    <phoneticPr fontId="6" type="noConversion"/>
  </si>
  <si>
    <t>Free T3 (fT3) Rapid Test Kit (FIA)</t>
    <phoneticPr fontId="6" type="noConversion"/>
  </si>
  <si>
    <t>Anti-Mullerian Hormone (AMH) Rapid Test Kit (IFA)</t>
    <phoneticPr fontId="6" type="noConversion"/>
  </si>
  <si>
    <t>cTnI</t>
    <phoneticPr fontId="6" type="noConversion"/>
  </si>
  <si>
    <t>Dengue IgG/IgM Ab Rapid Test Kit (FIA)</t>
    <phoneticPr fontId="6" type="noConversion"/>
  </si>
  <si>
    <t>NT-proBNP</t>
    <phoneticPr fontId="6" type="noConversion"/>
  </si>
  <si>
    <t>NGAL</t>
    <phoneticPr fontId="6" type="noConversion"/>
  </si>
  <si>
    <t>SAA</t>
    <phoneticPr fontId="6" type="noConversion"/>
  </si>
  <si>
    <t>Fer</t>
    <phoneticPr fontId="6" type="noConversion"/>
  </si>
  <si>
    <t>H.pylori Ag</t>
    <phoneticPr fontId="6" type="noConversion"/>
  </si>
  <si>
    <t>H.pylori Ag Rapid Test Kit (FIA)</t>
    <phoneticPr fontId="6" type="noConversion"/>
  </si>
  <si>
    <t>Victamin B9</t>
    <phoneticPr fontId="6" type="noConversion"/>
  </si>
  <si>
    <t>Victamin B12</t>
    <phoneticPr fontId="6" type="noConversion"/>
  </si>
  <si>
    <t>PGI</t>
    <phoneticPr fontId="6" type="noConversion"/>
  </si>
  <si>
    <t>β-HCG</t>
    <phoneticPr fontId="6" type="noConversion"/>
  </si>
  <si>
    <t>25-OHVD</t>
    <phoneticPr fontId="6" type="noConversion"/>
  </si>
  <si>
    <t>IgE</t>
    <phoneticPr fontId="6" type="noConversion"/>
  </si>
  <si>
    <t>CysC</t>
    <phoneticPr fontId="6" type="noConversion"/>
  </si>
  <si>
    <t>Quotation to:</t>
    <phoneticPr fontId="6" type="noConversion"/>
  </si>
  <si>
    <t>USD/Test</t>
    <phoneticPr fontId="6" type="noConversion"/>
  </si>
  <si>
    <t>USD/Kit</t>
    <phoneticPr fontId="6" type="noConversion"/>
  </si>
  <si>
    <t>FLU A/B Ag</t>
    <phoneticPr fontId="6" type="noConversion"/>
  </si>
  <si>
    <t>VFPO71</t>
    <phoneticPr fontId="6" type="noConversion"/>
  </si>
  <si>
    <t>VFPO64</t>
    <phoneticPr fontId="6" type="noConversion"/>
  </si>
  <si>
    <t>VFPO65</t>
    <phoneticPr fontId="6" type="noConversion"/>
  </si>
  <si>
    <t>VFPO72</t>
    <phoneticPr fontId="6" type="noConversion"/>
  </si>
  <si>
    <t>VFP078</t>
    <phoneticPr fontId="6" type="noConversion"/>
  </si>
  <si>
    <t>Victamin B12 Rapid Test Kit (FIA)</t>
    <phoneticPr fontId="6" type="noConversion"/>
  </si>
  <si>
    <t>VFP077</t>
    <phoneticPr fontId="6" type="noConversion"/>
  </si>
  <si>
    <t>24T/Kit</t>
    <phoneticPr fontId="6" type="noConversion"/>
  </si>
  <si>
    <t>Cortisol Rapid Test Kit (FIA)</t>
    <phoneticPr fontId="6" type="noConversion"/>
  </si>
  <si>
    <t>COR</t>
    <phoneticPr fontId="6" type="noConversion"/>
  </si>
  <si>
    <t>VFPO55</t>
    <phoneticPr fontId="6" type="noConversion"/>
  </si>
  <si>
    <t>Strep A Rapid Test Kit(FIA)</t>
    <phoneticPr fontId="6" type="noConversion"/>
  </si>
  <si>
    <t>Strep A</t>
    <phoneticPr fontId="6" type="noConversion"/>
  </si>
  <si>
    <t>VFPO67</t>
    <phoneticPr fontId="6" type="noConversion"/>
  </si>
  <si>
    <t>Adenovirus Rapid Test Kit (FIA)</t>
    <phoneticPr fontId="6" type="noConversion"/>
  </si>
  <si>
    <t>ADV</t>
    <phoneticPr fontId="6" type="noConversion"/>
  </si>
  <si>
    <t>VFPO66</t>
    <phoneticPr fontId="6" type="noConversion"/>
  </si>
  <si>
    <t>iFOB Rapid Test Kit (FIA)</t>
    <phoneticPr fontId="6" type="noConversion"/>
  </si>
  <si>
    <t>iFOB</t>
    <phoneticPr fontId="6" type="noConversion"/>
  </si>
  <si>
    <t>VFPO83</t>
    <phoneticPr fontId="6" type="noConversion"/>
  </si>
  <si>
    <t>Respiratory Syncytial Virus(RSV) Rapid Test Kit (IFA)</t>
    <phoneticPr fontId="6" type="noConversion"/>
  </si>
  <si>
    <t>RSV</t>
    <phoneticPr fontId="6" type="noConversion"/>
  </si>
  <si>
    <t>VFPO82</t>
    <phoneticPr fontId="6" type="noConversion"/>
  </si>
  <si>
    <t>Victamin</t>
    <phoneticPr fontId="6" type="noConversion"/>
  </si>
  <si>
    <t>24T/Kit</t>
    <phoneticPr fontId="6" type="noConversion"/>
  </si>
  <si>
    <t>HbsAg</t>
    <phoneticPr fontId="6" type="noConversion"/>
  </si>
  <si>
    <t>Hepatitis B Ag (HBsAg) Rapid Test Kit (FIA)</t>
    <phoneticPr fontId="6" type="noConversion"/>
  </si>
  <si>
    <t>VFPO69</t>
    <phoneticPr fontId="6" type="noConversion"/>
  </si>
  <si>
    <t>Insulin</t>
    <phoneticPr fontId="6" type="noConversion"/>
  </si>
  <si>
    <t>Insulin Rapid Test Kit (FIA)</t>
    <phoneticPr fontId="6" type="noConversion"/>
  </si>
  <si>
    <t>VFPO79</t>
    <phoneticPr fontId="6" type="noConversion"/>
  </si>
  <si>
    <t>INS</t>
    <phoneticPr fontId="6" type="noConversion"/>
  </si>
  <si>
    <r>
      <rPr>
        <b/>
        <sz val="60"/>
        <rFont val="Arial Bold"/>
        <family val="2"/>
      </rPr>
      <t>Bifour Quotation_FIAPresto™ Immunofluorescence POCT</t>
    </r>
    <r>
      <rPr>
        <b/>
        <sz val="36"/>
        <rFont val="Arial Bold"/>
        <family val="2"/>
      </rPr>
      <t xml:space="preserve">
</t>
    </r>
    <r>
      <rPr>
        <sz val="32"/>
        <color rgb="FF1C7683"/>
        <rFont val="Arial"/>
        <family val="2"/>
      </rPr>
      <t>The period of validity is three months</t>
    </r>
    <phoneticPr fontId="6" type="noConversion"/>
  </si>
  <si>
    <t>Darlez Nigeria Ltd</t>
    <phoneticPr fontId="6" type="noConversion"/>
  </si>
  <si>
    <r>
      <t>Date</t>
    </r>
    <r>
      <rPr>
        <b/>
        <sz val="38"/>
        <rFont val="宋体"/>
        <family val="3"/>
        <charset val="134"/>
      </rPr>
      <t>：</t>
    </r>
  </si>
  <si>
    <t>860 USD</t>
    <phoneticPr fontId="6" type="noConversion"/>
  </si>
  <si>
    <r>
      <t>FIAPresto</t>
    </r>
    <r>
      <rPr>
        <sz val="50"/>
        <color rgb="FF1C7683"/>
        <rFont val="SimSun"/>
        <charset val="134"/>
      </rPr>
      <t>™</t>
    </r>
    <r>
      <rPr>
        <sz val="50"/>
        <color rgb="FF1C7683"/>
        <rFont val="Arial"/>
        <family val="2"/>
      </rPr>
      <t xml:space="preserve"> Immunofluorescense Analyzer</t>
    </r>
  </si>
  <si>
    <r>
      <rPr>
        <sz val="36"/>
        <color rgb="FF1C7683"/>
        <rFont val="Arial"/>
        <family val="2"/>
      </rPr>
      <t>Multi-chamber™ Portable Incubator</t>
    </r>
    <r>
      <rPr>
        <sz val="26"/>
        <color rgb="FF1C7683"/>
        <rFont val="Arial"/>
        <family val="2"/>
      </rPr>
      <t xml:space="preserve"> </t>
    </r>
    <r>
      <rPr>
        <b/>
        <sz val="26"/>
        <color rgb="FFFF0000"/>
        <rFont val="Arial"/>
        <family val="2"/>
      </rPr>
      <t>(Optional, if users installed air condition, no need purchase it. If not, incubator can adjust temperature when sample preparation, the function is cooling and heating in different situation, the best reaction temperature is 25</t>
    </r>
    <r>
      <rPr>
        <b/>
        <sz val="26"/>
        <color rgb="FFFF0000"/>
        <rFont val="Segoe UI Symbol"/>
        <family val="2"/>
      </rPr>
      <t>℃</t>
    </r>
    <r>
      <rPr>
        <b/>
        <sz val="26"/>
        <color rgb="FFFF0000"/>
        <rFont val="Arial"/>
        <family val="2"/>
      </rPr>
      <t>)</t>
    </r>
    <phoneticPr fontId="6" type="noConversion"/>
  </si>
  <si>
    <r>
      <rPr>
        <sz val="50"/>
        <color rgb="FF1C7683"/>
        <rFont val="Arial"/>
        <family val="2"/>
      </rPr>
      <t>240 USD</t>
    </r>
    <r>
      <rPr>
        <sz val="28"/>
        <color rgb="FFFF0000"/>
        <rFont val="Arial"/>
        <family val="2"/>
      </rPr>
      <t xml:space="preserve"> ( Optional )</t>
    </r>
    <phoneticPr fontId="6" type="noConversion"/>
  </si>
  <si>
    <r>
      <t>D-Dimer Rapid Test Kit</t>
    </r>
    <r>
      <rPr>
        <sz val="36"/>
        <rFont val="宋体"/>
        <family val="3"/>
        <charset val="134"/>
      </rPr>
      <t>（</t>
    </r>
    <r>
      <rPr>
        <sz val="36"/>
        <rFont val="Arial"/>
        <family val="2"/>
      </rPr>
      <t>FIA</t>
    </r>
    <r>
      <rPr>
        <sz val="36"/>
        <rFont val="宋体"/>
        <family val="3"/>
        <charset val="134"/>
      </rPr>
      <t>）</t>
    </r>
  </si>
  <si>
    <r>
      <t>Prostate Specific Antigen (total PSA) Rapid Test Kit</t>
    </r>
    <r>
      <rPr>
        <sz val="36"/>
        <rFont val="微软雅黑"/>
        <family val="2"/>
        <charset val="134"/>
      </rPr>
      <t>（</t>
    </r>
    <r>
      <rPr>
        <sz val="36"/>
        <rFont val="Arial"/>
        <family val="2"/>
      </rPr>
      <t>FIA</t>
    </r>
    <r>
      <rPr>
        <sz val="36"/>
        <rFont val="微软雅黑"/>
        <family val="2"/>
        <charset val="134"/>
      </rPr>
      <t>）</t>
    </r>
    <phoneticPr fontId="6" type="noConversion"/>
  </si>
  <si>
    <r>
      <t>25-hydroxy Vitamin D</t>
    </r>
    <r>
      <rPr>
        <sz val="36"/>
        <rFont val="宋体"/>
        <family val="3"/>
        <charset val="134"/>
      </rPr>
      <t>（</t>
    </r>
    <r>
      <rPr>
        <sz val="36"/>
        <rFont val="Arial"/>
        <family val="2"/>
      </rPr>
      <t>25-OHVD</t>
    </r>
    <r>
      <rPr>
        <sz val="36"/>
        <rFont val="宋体"/>
        <family val="3"/>
        <charset val="134"/>
      </rPr>
      <t>）</t>
    </r>
    <r>
      <rPr>
        <sz val="36"/>
        <rFont val="Arial"/>
        <family val="2"/>
      </rPr>
      <t>Rapid Test Kit (IFA)</t>
    </r>
  </si>
  <si>
    <r>
      <t>Neutrophil Gelatinase-associated Lipocalin</t>
    </r>
    <r>
      <rPr>
        <sz val="36"/>
        <rFont val="宋体"/>
        <family val="3"/>
        <charset val="134"/>
      </rPr>
      <t>（</t>
    </r>
    <r>
      <rPr>
        <sz val="36"/>
        <rFont val="Arial"/>
        <family val="2"/>
      </rPr>
      <t>NGAL</t>
    </r>
    <r>
      <rPr>
        <sz val="36"/>
        <rFont val="宋体"/>
        <family val="3"/>
        <charset val="134"/>
      </rPr>
      <t>）</t>
    </r>
    <r>
      <rPr>
        <sz val="36"/>
        <rFont val="Arial"/>
        <family val="2"/>
      </rPr>
      <t>Rapid Test Kit (FIA)</t>
    </r>
  </si>
  <si>
    <r>
      <t>Serum Amyloid A (SAA</t>
    </r>
    <r>
      <rPr>
        <sz val="36"/>
        <rFont val="宋体"/>
        <family val="3"/>
        <charset val="134"/>
      </rPr>
      <t>）</t>
    </r>
    <r>
      <rPr>
        <sz val="36"/>
        <rFont val="Arial"/>
        <family val="2"/>
      </rPr>
      <t>Rapid Test Kit (FIA)</t>
    </r>
  </si>
  <si>
    <r>
      <t>Ferritin</t>
    </r>
    <r>
      <rPr>
        <sz val="36"/>
        <rFont val="宋体"/>
        <family val="3"/>
        <charset val="134"/>
      </rPr>
      <t>（</t>
    </r>
    <r>
      <rPr>
        <sz val="36"/>
        <rFont val="Arial"/>
        <family val="2"/>
      </rPr>
      <t>Fer</t>
    </r>
    <r>
      <rPr>
        <sz val="36"/>
        <rFont val="宋体"/>
        <family val="3"/>
        <charset val="134"/>
      </rPr>
      <t>）</t>
    </r>
    <r>
      <rPr>
        <sz val="36"/>
        <rFont val="Arial"/>
        <family val="2"/>
      </rPr>
      <t>Rapid Test Kit (FIA)</t>
    </r>
  </si>
  <si>
    <r>
      <t>Cystatin C</t>
    </r>
    <r>
      <rPr>
        <sz val="36"/>
        <rFont val="宋体"/>
        <family val="3"/>
        <charset val="134"/>
      </rPr>
      <t>（</t>
    </r>
    <r>
      <rPr>
        <sz val="36"/>
        <rFont val="Arial"/>
        <family val="2"/>
      </rPr>
      <t>CysC</t>
    </r>
    <r>
      <rPr>
        <sz val="36"/>
        <rFont val="宋体"/>
        <family val="3"/>
        <charset val="134"/>
      </rPr>
      <t>）</t>
    </r>
    <r>
      <rPr>
        <sz val="36"/>
        <rFont val="Arial"/>
        <family val="2"/>
      </rPr>
      <t>Rapid Test Kit (IFA)</t>
    </r>
  </si>
  <si>
    <r>
      <t xml:space="preserve">Folic Acid </t>
    </r>
    <r>
      <rPr>
        <sz val="36"/>
        <rFont val="宋体"/>
        <family val="2"/>
        <charset val="134"/>
      </rPr>
      <t>（</t>
    </r>
    <r>
      <rPr>
        <sz val="36"/>
        <rFont val="Arial"/>
        <family val="2"/>
      </rPr>
      <t>Victamin B9</t>
    </r>
    <r>
      <rPr>
        <sz val="36"/>
        <rFont val="宋体"/>
        <family val="2"/>
        <charset val="134"/>
      </rPr>
      <t>）</t>
    </r>
    <r>
      <rPr>
        <sz val="36"/>
        <rFont val="Arial"/>
        <family val="2"/>
      </rPr>
      <t xml:space="preserve"> Rapid Test Kit (FIA)</t>
    </r>
    <phoneticPr fontId="6" type="noConversion"/>
  </si>
  <si>
    <t>Therapeutical Drug Monitoring</t>
    <phoneticPr fontId="6" type="noConversion"/>
  </si>
  <si>
    <t>Vancomycin(VM) Rapid Test Kit</t>
    <phoneticPr fontId="6" type="noConversion"/>
  </si>
  <si>
    <t>VM</t>
    <phoneticPr fontId="6" type="noConversion"/>
  </si>
  <si>
    <t>VFPO32</t>
    <phoneticPr fontId="6" type="noConversion"/>
  </si>
  <si>
    <t xml:space="preserve">Valproic Acid（VPA）Rapid Test Kit </t>
    <phoneticPr fontId="6" type="noConversion"/>
  </si>
  <si>
    <t>VPA</t>
    <phoneticPr fontId="6" type="noConversion"/>
  </si>
  <si>
    <t>VFPO33</t>
    <phoneticPr fontId="6" type="noConversion"/>
  </si>
  <si>
    <t>Phenytoin (PHT) Rapid Test Kit</t>
    <phoneticPr fontId="6" type="noConversion"/>
  </si>
  <si>
    <t>PHT</t>
    <phoneticPr fontId="6" type="noConversion"/>
  </si>
  <si>
    <t>VFPO27</t>
    <phoneticPr fontId="6" type="noConversion"/>
  </si>
  <si>
    <t>Digoxin（DIG）Rapid Test Kit</t>
    <phoneticPr fontId="6" type="noConversion"/>
  </si>
  <si>
    <t>DIG</t>
    <phoneticPr fontId="6" type="noConversion"/>
  </si>
  <si>
    <t>VFPO20</t>
    <phoneticPr fontId="6" type="noConversion"/>
  </si>
  <si>
    <t>Carbamazepine (Carb) Rapid Test Kit</t>
    <phoneticPr fontId="6" type="noConversion"/>
  </si>
  <si>
    <t>CARB</t>
    <phoneticPr fontId="6" type="noConversion"/>
  </si>
  <si>
    <t>VFPO16</t>
    <phoneticPr fontId="6" type="noConversion"/>
  </si>
  <si>
    <t>Heavy Metal</t>
    <phoneticPr fontId="6" type="noConversion"/>
  </si>
  <si>
    <t>Cadmium (Cd) Rapid Test Kit</t>
    <phoneticPr fontId="6" type="noConversion"/>
  </si>
  <si>
    <t>Cd</t>
    <phoneticPr fontId="6" type="noConversion"/>
  </si>
  <si>
    <t>VFPO58</t>
    <phoneticPr fontId="6" type="noConversion"/>
  </si>
  <si>
    <t>Plumbum (Pb) Rapid Test Kit</t>
    <phoneticPr fontId="6" type="noConversion"/>
  </si>
  <si>
    <t>Pb</t>
    <phoneticPr fontId="6" type="noConversion"/>
  </si>
  <si>
    <t>VFPO59</t>
    <phoneticPr fontId="6" type="noConversion"/>
  </si>
  <si>
    <t>25T/Kit</t>
    <phoneticPr fontId="6" type="noConversion"/>
  </si>
  <si>
    <t>24T/Kit</t>
    <phoneticPr fontId="6" type="noConversion"/>
  </si>
  <si>
    <t>Gonad/Sex Hormone</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</si>
</sst>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yyyy/m/d;@"/>
    <numFmt numFmtId="178" formatCode="&quot;US$&quot;#,##0.00_);[Red]\(&quot;US$&quot;#,##0.00\)"/>
    <numFmt numFmtId="179" formatCode="#,##0.0_);[Red]\(#,##0.0\)"/>
  </numFmts>
  <fonts count="35">
    <font>
      <sz val="12"/>
      <name val="宋体"/>
      <charset val="134"/>
    </font>
    <font>
      <sz val="10"/>
      <name val="Arial"/>
      <family val="2"/>
    </font>
    <font>
      <b/>
      <sz val="8"/>
      <name val="Arial"/>
      <family val="2"/>
    </font>
    <font>
      <sz val="8"/>
      <name val="Arial"/>
      <family val="2"/>
    </font>
    <font>
      <b/>
      <sz val="10"/>
      <name val="Arial"/>
      <family val="2"/>
    </font>
    <font>
      <sz val="11"/>
      <color theme="1"/>
      <name val="宋体"/>
      <family val="3"/>
      <charset val="134"/>
      <scheme val="minor"/>
    </font>
    <font>
      <sz val="9"/>
      <name val="宋体"/>
      <family val="3"/>
      <charset val="134"/>
    </font>
    <font>
      <b/>
      <sz val="36"/>
      <name val="Arial Bold"/>
      <family val="2"/>
    </font>
    <font>
      <sz val="18"/>
      <name val="Arial"/>
      <family val="2"/>
    </font>
    <font>
      <sz val="36"/>
      <name val="Arial"/>
      <family val="2"/>
    </font>
    <font>
      <sz val="36"/>
      <name val="宋体"/>
      <family val="3"/>
      <charset val="134"/>
    </font>
    <font>
      <sz val="28"/>
      <color rgb="FF1C7683"/>
      <name val="Arial"/>
      <family val="2"/>
    </font>
    <font>
      <sz val="32"/>
      <color rgb="FF1C7683"/>
      <name val="Arial"/>
      <family val="2"/>
    </font>
    <font>
      <b/>
      <sz val="60"/>
      <name val="Arial Bold"/>
      <family val="2"/>
    </font>
    <font>
      <b/>
      <sz val="50"/>
      <color theme="0"/>
      <name val="Arial"/>
      <family val="2"/>
    </font>
    <font>
      <sz val="50"/>
      <name val="Arial"/>
      <family val="2"/>
    </font>
    <font>
      <sz val="38"/>
      <name val="Arial"/>
      <family val="2"/>
    </font>
    <font>
      <b/>
      <sz val="38"/>
      <name val="Arial Bold"/>
      <family val="2"/>
    </font>
    <font>
      <b/>
      <sz val="38"/>
      <name val="Arial"/>
      <family val="2"/>
    </font>
    <font>
      <sz val="38"/>
      <name val="宋体"/>
      <family val="3"/>
      <charset val="134"/>
    </font>
    <font>
      <b/>
      <sz val="38"/>
      <name val="宋体"/>
      <family val="3"/>
      <charset val="134"/>
    </font>
    <font>
      <sz val="28"/>
      <color rgb="FFFF0000"/>
      <name val="Arial"/>
      <family val="2"/>
    </font>
    <font>
      <b/>
      <sz val="26"/>
      <color rgb="FFFF0000"/>
      <name val="Arial"/>
      <family val="2"/>
    </font>
    <font>
      <b/>
      <sz val="26"/>
      <color rgb="FFFF0000"/>
      <name val="Segoe UI Symbol"/>
      <family val="2"/>
    </font>
    <font>
      <sz val="50"/>
      <color rgb="FF1C7683"/>
      <name val="Arial"/>
      <family val="2"/>
    </font>
    <font>
      <sz val="50"/>
      <color rgb="FF1C7683"/>
      <name val="SimSun"/>
      <charset val="134"/>
    </font>
    <font>
      <sz val="24"/>
      <color rgb="FF1C7683"/>
      <name val="Arial"/>
      <family val="2"/>
    </font>
    <font>
      <sz val="36"/>
      <color rgb="FF1C7683"/>
      <name val="Arial"/>
      <family val="2"/>
    </font>
    <font>
      <sz val="26"/>
      <color rgb="FF1C7683"/>
      <name val="Arial"/>
      <family val="2"/>
    </font>
    <font>
      <sz val="20"/>
      <color rgb="FF1C7683"/>
      <name val="Arial"/>
      <family val="2"/>
    </font>
    <font>
      <sz val="36"/>
      <name val="微软雅黑"/>
      <family val="2"/>
      <charset val="134"/>
    </font>
    <font>
      <sz val="36"/>
      <name val="宋体"/>
      <family val="2"/>
      <charset val="134"/>
    </font>
    <font>
      <b/>
      <sz val="36"/>
      <name val="Arial"/>
      <family val="2"/>
    </font>
    <font>
      <b/>
      <sz val="55"/>
      <name val="Arial"/>
      <family val="2"/>
    </font>
    <font>
      <b/>
      <sz val="55"/>
      <name val="宋体"/>
      <family val="3"/>
      <charset val="134"/>
    </font>
  </fonts>
  <fills count="4">
    <fill>
      <patternFill patternType="none"/>
    </fill>
    <fill>
      <patternFill patternType="gray125"/>
    </fill>
    <fill>
      <patternFill patternType="solid">
        <fgColor rgb="FFFFFFFF"/>
        <bgColor indexed="64"/>
      </patternFill>
    </fill>
    <fill>
      <patternFill patternType="solid">
        <fgColor rgb="FF1C7683"/>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s>
  <cellStyleXfs count="2">
    <xf numFmtId="0" fontId="0" fillId="0" borderId="0">
      <alignment vertical="center"/>
    </xf>
    <xf numFmtId="0" fontId="5" fillId="0" borderId="0"/>
  </cellStyleXfs>
  <cellXfs count="42">
    <xf numFmtId="0" fontId="0" fillId="0" borderId="0" xfId="0">
      <alignment vertical="center"/>
    </xf>
    <xf numFmtId="0" fontId="1" fillId="0" borderId="0" xfId="0" applyFont="1" applyAlignment="1">
      <alignment wrapText="1"/>
    </xf>
    <xf numFmtId="0" fontId="0" fillId="0" borderId="0" xfId="0" applyAlignment="1">
      <alignment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wrapText="1"/>
    </xf>
    <xf numFmtId="178" fontId="3" fillId="0" borderId="1" xfId="0" applyNumberFormat="1" applyFont="1" applyBorder="1" applyAlignment="1">
      <alignment horizontal="center" vertical="center" wrapText="1"/>
    </xf>
    <xf numFmtId="0" fontId="1"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horizontal="center" vertical="center" wrapText="1"/>
    </xf>
    <xf numFmtId="0" fontId="8" fillId="0" borderId="0" xfId="0" applyFont="1" applyAlignment="1">
      <alignment wrapText="1"/>
    </xf>
    <xf numFmtId="0" fontId="9" fillId="0" borderId="1" xfId="0" applyFont="1" applyBorder="1" applyAlignment="1">
      <alignment horizontal="left" vertical="center" wrapText="1"/>
    </xf>
    <xf numFmtId="0" fontId="9" fillId="0" borderId="0" xfId="0" applyFont="1" applyAlignment="1">
      <alignment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7" fillId="2" borderId="0" xfId="0" applyFont="1" applyFill="1" applyAlignment="1">
      <alignment horizontal="center" vertical="center" wrapText="1"/>
    </xf>
    <xf numFmtId="0" fontId="14" fillId="3" borderId="1" xfId="0" applyFont="1" applyFill="1" applyBorder="1" applyAlignment="1">
      <alignment horizontal="center" vertical="center" wrapText="1"/>
    </xf>
    <xf numFmtId="0" fontId="15" fillId="0" borderId="0" xfId="0" applyFont="1" applyAlignment="1">
      <alignment wrapText="1"/>
    </xf>
    <xf numFmtId="0" fontId="16" fillId="0" borderId="0" xfId="0" applyFont="1" applyAlignment="1">
      <alignment vertical="center" wrapText="1"/>
    </xf>
    <xf numFmtId="0" fontId="17" fillId="2" borderId="0" xfId="0" applyFont="1" applyFill="1" applyAlignment="1">
      <alignment horizontal="right" vertical="center" wrapText="1"/>
    </xf>
    <xf numFmtId="0" fontId="18" fillId="0" borderId="8" xfId="0" applyFont="1" applyBorder="1" applyAlignment="1">
      <alignment horizontal="left" vertical="center" wrapText="1"/>
    </xf>
    <xf numFmtId="0" fontId="19" fillId="0" borderId="8" xfId="0" applyFont="1" applyBorder="1" applyAlignment="1">
      <alignment vertical="center" wrapText="1"/>
    </xf>
    <xf numFmtId="177" fontId="17" fillId="2" borderId="0" xfId="0" applyNumberFormat="1" applyFont="1" applyFill="1" applyAlignment="1">
      <alignment horizontal="left" vertical="center" wrapText="1"/>
    </xf>
    <xf numFmtId="0" fontId="16" fillId="0" borderId="0" xfId="0" applyFont="1" applyAlignment="1">
      <alignment wrapText="1"/>
    </xf>
    <xf numFmtId="0" fontId="24" fillId="0" borderId="5" xfId="0" applyFont="1" applyBorder="1" applyAlignment="1">
      <alignment horizontal="right" vertical="center" wrapText="1"/>
    </xf>
    <xf numFmtId="0" fontId="24" fillId="0" borderId="6" xfId="0" applyFont="1" applyBorder="1" applyAlignment="1">
      <alignment horizontal="right" vertical="center" wrapText="1"/>
    </xf>
    <xf numFmtId="0" fontId="24" fillId="0" borderId="7" xfId="0" applyFont="1" applyBorder="1" applyAlignment="1">
      <alignment horizontal="right" vertical="center" wrapText="1"/>
    </xf>
    <xf numFmtId="176" fontId="24" fillId="0" borderId="1" xfId="0" applyNumberFormat="1" applyFont="1" applyBorder="1" applyAlignment="1">
      <alignment horizontal="center" vertical="center" wrapText="1"/>
    </xf>
    <xf numFmtId="0" fontId="24" fillId="0" borderId="0" xfId="0" applyFont="1" applyAlignment="1">
      <alignment wrapText="1"/>
    </xf>
    <xf numFmtId="0" fontId="26" fillId="0" borderId="5" xfId="0" applyFont="1" applyBorder="1" applyAlignment="1">
      <alignment horizontal="right" vertical="center" wrapText="1"/>
    </xf>
    <xf numFmtId="0" fontId="26" fillId="0" borderId="6" xfId="0" applyFont="1" applyBorder="1" applyAlignment="1">
      <alignment horizontal="right" vertical="center" wrapText="1"/>
    </xf>
    <xf numFmtId="0" fontId="26" fillId="0" borderId="7" xfId="0" applyFont="1" applyBorder="1" applyAlignment="1">
      <alignment horizontal="right" vertical="center" wrapText="1"/>
    </xf>
    <xf numFmtId="176" fontId="11" fillId="0" borderId="1" xfId="0" applyNumberFormat="1" applyFont="1" applyBorder="1" applyAlignment="1">
      <alignment horizontal="center" vertical="center" wrapText="1"/>
    </xf>
    <xf numFmtId="0" fontId="29" fillId="0" borderId="0" xfId="0" applyFont="1" applyAlignment="1">
      <alignment wrapText="1"/>
    </xf>
    <xf numFmtId="0" fontId="9" fillId="0" borderId="1" xfId="0" applyFont="1" applyBorder="1" applyAlignment="1">
      <alignment horizontal="center" vertical="center" wrapText="1"/>
    </xf>
    <xf numFmtId="179" fontId="9" fillId="0" borderId="1" xfId="0" applyNumberFormat="1" applyFont="1" applyBorder="1" applyAlignment="1">
      <alignment horizontal="center" vertical="center" wrapText="1"/>
    </xf>
    <xf numFmtId="0" fontId="33" fillId="0" borderId="3" xfId="0" applyFont="1" applyBorder="1" applyAlignment="1">
      <alignment horizontal="left" vertical="center" wrapText="1"/>
    </xf>
    <xf numFmtId="0" fontId="33" fillId="0" borderId="1" xfId="0" applyFont="1" applyBorder="1" applyAlignment="1">
      <alignment horizontal="left" vertical="center" wrapText="1"/>
    </xf>
    <xf numFmtId="0" fontId="33" fillId="0" borderId="2" xfId="0" applyFont="1" applyBorder="1" applyAlignment="1">
      <alignment horizontal="left" vertical="center" wrapText="1"/>
    </xf>
    <xf numFmtId="0" fontId="34" fillId="0" borderId="3" xfId="0" applyFont="1" applyBorder="1" applyAlignment="1">
      <alignment horizontal="left" vertical="center" wrapText="1"/>
    </xf>
    <xf numFmtId="0" fontId="34" fillId="0" borderId="4" xfId="0" applyFont="1" applyBorder="1" applyAlignment="1">
      <alignment horizontal="left" vertical="center" wrapText="1"/>
    </xf>
    <xf numFmtId="0" fontId="33" fillId="0" borderId="1" xfId="0" applyFont="1" applyBorder="1" applyAlignment="1">
      <alignment horizontal="left" vertical="center" wrapText="1"/>
    </xf>
    <xf numFmtId="0" fontId="32" fillId="0" borderId="1" xfId="0" applyFont="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2" defaultPivotStyle="PivotStyleLight16"/>
  <colors>
    <mruColors>
      <color rgb="FF1C7683"/>
      <color rgb="FF339966"/>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solidFill>
          <a:srgbClr val="FFFFFF"/>
        </a:solidFill>
        <a:ln w="9525" cap="flat" cmpd="sng" algn="ctr">
          <a:solidFill>
            <a:srgbClr val="000000"/>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I59"/>
  <sheetViews>
    <sheetView tabSelected="1" view="pageBreakPreview" zoomScale="40" zoomScaleNormal="100" zoomScaleSheetLayoutView="40" workbookViewId="0">
      <pane ySplit="3" topLeftCell="A4" activePane="bottomLeft" state="frozen"/>
      <selection pane="bottomLeft" activeCell="B59" sqref="A6:XFD59"/>
    </sheetView>
  </sheetViews>
  <sheetFormatPr defaultColWidth="9" defaultRowHeight="15" customHeight="1"/>
  <cols>
    <col min="1" max="1" width="64.796875" style="2" customWidth="1"/>
    <col min="2" max="2" width="156.296875" style="7" customWidth="1"/>
    <col min="3" max="3" width="41.84765625" style="7" customWidth="1"/>
    <col min="4" max="4" width="42" style="6" customWidth="1"/>
    <col min="5" max="5" width="43.5" style="6" customWidth="1"/>
    <col min="6" max="6" width="43.34765625" style="8" customWidth="1"/>
    <col min="7" max="7" width="44" style="6" customWidth="1"/>
    <col min="8" max="243" width="9" style="6"/>
    <col min="244" max="16384" width="9" style="2"/>
  </cols>
  <sheetData>
    <row r="1" spans="1:7" s="6" customFormat="1" ht="171.9" customHeight="1">
      <c r="B1" s="14" t="s">
        <v>197</v>
      </c>
      <c r="C1" s="14"/>
      <c r="D1" s="14"/>
      <c r="E1" s="14"/>
      <c r="F1" s="14"/>
      <c r="G1" s="14"/>
    </row>
    <row r="2" spans="1:7" s="22" customFormat="1" ht="69.3" customHeight="1">
      <c r="A2" s="17"/>
      <c r="B2" s="18" t="s">
        <v>161</v>
      </c>
      <c r="C2" s="19" t="s">
        <v>198</v>
      </c>
      <c r="D2" s="19"/>
      <c r="E2" s="20"/>
      <c r="F2" s="18" t="s">
        <v>199</v>
      </c>
      <c r="G2" s="21">
        <v>45226</v>
      </c>
    </row>
    <row r="3" spans="1:7" s="16" customFormat="1" ht="103.5" customHeight="1">
      <c r="A3" s="15" t="s">
        <v>0</v>
      </c>
      <c r="B3" s="15" t="s">
        <v>1</v>
      </c>
      <c r="C3" s="15" t="s">
        <v>2</v>
      </c>
      <c r="D3" s="15" t="s">
        <v>3</v>
      </c>
      <c r="E3" s="15" t="s">
        <v>131</v>
      </c>
      <c r="F3" s="15" t="s">
        <v>162</v>
      </c>
      <c r="G3" s="15" t="s">
        <v>163</v>
      </c>
    </row>
    <row r="4" spans="1:7" s="27" customFormat="1" ht="100" customHeight="1">
      <c r="A4" s="23" t="s">
        <v>201</v>
      </c>
      <c r="B4" s="24"/>
      <c r="C4" s="24"/>
      <c r="D4" s="24"/>
      <c r="E4" s="25"/>
      <c r="F4" s="26" t="s">
        <v>200</v>
      </c>
      <c r="G4" s="26"/>
    </row>
    <row r="5" spans="1:7" s="32" customFormat="1" ht="100" customHeight="1">
      <c r="A5" s="28" t="s">
        <v>202</v>
      </c>
      <c r="B5" s="29"/>
      <c r="C5" s="29"/>
      <c r="D5" s="29"/>
      <c r="E5" s="30"/>
      <c r="F5" s="31" t="s">
        <v>203</v>
      </c>
      <c r="G5" s="31"/>
    </row>
    <row r="6" spans="1:7" s="11" customFormat="1" ht="130" customHeight="1">
      <c r="A6" s="36" t="s">
        <v>134</v>
      </c>
      <c r="B6" s="10" t="s">
        <v>133</v>
      </c>
      <c r="C6" s="33" t="s">
        <v>146</v>
      </c>
      <c r="D6" s="33" t="s">
        <v>4</v>
      </c>
      <c r="E6" s="33" t="s">
        <v>5</v>
      </c>
      <c r="F6" s="34">
        <v>2</v>
      </c>
      <c r="G6" s="34">
        <f t="shared" ref="G6:G44" si="0">F6*25</f>
        <v>50</v>
      </c>
    </row>
    <row r="7" spans="1:7" s="11" customFormat="1" ht="130" customHeight="1">
      <c r="A7" s="36"/>
      <c r="B7" s="10" t="s">
        <v>6</v>
      </c>
      <c r="C7" s="33" t="s">
        <v>148</v>
      </c>
      <c r="D7" s="33" t="s">
        <v>7</v>
      </c>
      <c r="E7" s="33" t="s">
        <v>5</v>
      </c>
      <c r="F7" s="34">
        <v>3.2</v>
      </c>
      <c r="G7" s="34">
        <f t="shared" si="0"/>
        <v>80</v>
      </c>
    </row>
    <row r="8" spans="1:7" s="11" customFormat="1" ht="130" customHeight="1">
      <c r="A8" s="36"/>
      <c r="B8" s="10" t="s">
        <v>8</v>
      </c>
      <c r="C8" s="33" t="s">
        <v>9</v>
      </c>
      <c r="D8" s="33" t="s">
        <v>10</v>
      </c>
      <c r="E8" s="33" t="s">
        <v>5</v>
      </c>
      <c r="F8" s="34">
        <v>2</v>
      </c>
      <c r="G8" s="34">
        <f t="shared" si="0"/>
        <v>50</v>
      </c>
    </row>
    <row r="9" spans="1:7" s="11" customFormat="1" ht="130" customHeight="1">
      <c r="A9" s="36"/>
      <c r="B9" s="10" t="s">
        <v>204</v>
      </c>
      <c r="C9" s="33" t="s">
        <v>11</v>
      </c>
      <c r="D9" s="33" t="s">
        <v>12</v>
      </c>
      <c r="E9" s="33" t="s">
        <v>5</v>
      </c>
      <c r="F9" s="34">
        <v>2</v>
      </c>
      <c r="G9" s="34">
        <f t="shared" si="0"/>
        <v>50</v>
      </c>
    </row>
    <row r="10" spans="1:7" s="11" customFormat="1" ht="130" customHeight="1">
      <c r="A10" s="36"/>
      <c r="B10" s="10" t="s">
        <v>13</v>
      </c>
      <c r="C10" s="33" t="s">
        <v>14</v>
      </c>
      <c r="D10" s="33" t="s">
        <v>15</v>
      </c>
      <c r="E10" s="33" t="s">
        <v>5</v>
      </c>
      <c r="F10" s="34">
        <v>2</v>
      </c>
      <c r="G10" s="34">
        <f t="shared" si="0"/>
        <v>50</v>
      </c>
    </row>
    <row r="11" spans="1:7" s="11" customFormat="1" ht="130" customHeight="1">
      <c r="A11" s="36" t="s">
        <v>16</v>
      </c>
      <c r="B11" s="10" t="s">
        <v>17</v>
      </c>
      <c r="C11" s="33" t="s">
        <v>18</v>
      </c>
      <c r="D11" s="33" t="s">
        <v>19</v>
      </c>
      <c r="E11" s="33" t="s">
        <v>5</v>
      </c>
      <c r="F11" s="34">
        <v>2.2000000000000002</v>
      </c>
      <c r="G11" s="34">
        <f t="shared" si="0"/>
        <v>55.000000000000007</v>
      </c>
    </row>
    <row r="12" spans="1:7" s="11" customFormat="1" ht="130" customHeight="1">
      <c r="A12" s="36"/>
      <c r="B12" s="10" t="s">
        <v>205</v>
      </c>
      <c r="C12" s="33" t="s">
        <v>20</v>
      </c>
      <c r="D12" s="33" t="s">
        <v>21</v>
      </c>
      <c r="E12" s="33" t="s">
        <v>5</v>
      </c>
      <c r="F12" s="34">
        <v>2</v>
      </c>
      <c r="G12" s="34">
        <f t="shared" si="0"/>
        <v>50</v>
      </c>
    </row>
    <row r="13" spans="1:7" s="11" customFormat="1" ht="130" customHeight="1">
      <c r="A13" s="36"/>
      <c r="B13" s="10" t="s">
        <v>22</v>
      </c>
      <c r="C13" s="33" t="s">
        <v>23</v>
      </c>
      <c r="D13" s="33" t="s">
        <v>24</v>
      </c>
      <c r="E13" s="33" t="s">
        <v>5</v>
      </c>
      <c r="F13" s="34">
        <v>2</v>
      </c>
      <c r="G13" s="34">
        <f t="shared" si="0"/>
        <v>50</v>
      </c>
    </row>
    <row r="14" spans="1:7" s="11" customFormat="1" ht="130" customHeight="1">
      <c r="A14" s="36"/>
      <c r="B14" s="10" t="s">
        <v>25</v>
      </c>
      <c r="C14" s="33" t="s">
        <v>26</v>
      </c>
      <c r="D14" s="33" t="s">
        <v>27</v>
      </c>
      <c r="E14" s="33" t="s">
        <v>5</v>
      </c>
      <c r="F14" s="34">
        <v>2.2000000000000002</v>
      </c>
      <c r="G14" s="34">
        <f t="shared" si="0"/>
        <v>55.000000000000007</v>
      </c>
    </row>
    <row r="15" spans="1:7" s="11" customFormat="1" ht="130" customHeight="1">
      <c r="A15" s="36"/>
      <c r="B15" s="10" t="s">
        <v>28</v>
      </c>
      <c r="C15" s="33" t="s">
        <v>156</v>
      </c>
      <c r="D15" s="33" t="s">
        <v>30</v>
      </c>
      <c r="E15" s="33" t="s">
        <v>5</v>
      </c>
      <c r="F15" s="33">
        <v>2</v>
      </c>
      <c r="G15" s="34">
        <f t="shared" si="0"/>
        <v>50</v>
      </c>
    </row>
    <row r="16" spans="1:7" s="11" customFormat="1" ht="130" customHeight="1">
      <c r="A16" s="36"/>
      <c r="B16" s="10" t="s">
        <v>31</v>
      </c>
      <c r="C16" s="33" t="s">
        <v>132</v>
      </c>
      <c r="D16" s="33" t="s">
        <v>32</v>
      </c>
      <c r="E16" s="33" t="s">
        <v>5</v>
      </c>
      <c r="F16" s="33">
        <v>2.2000000000000002</v>
      </c>
      <c r="G16" s="34">
        <f t="shared" si="0"/>
        <v>55.000000000000007</v>
      </c>
    </row>
    <row r="17" spans="1:7" s="11" customFormat="1" ht="130" customHeight="1">
      <c r="A17" s="37" t="s">
        <v>237</v>
      </c>
      <c r="B17" s="10" t="s">
        <v>138</v>
      </c>
      <c r="C17" s="33" t="s">
        <v>101</v>
      </c>
      <c r="D17" s="33" t="s">
        <v>139</v>
      </c>
      <c r="E17" s="33" t="s">
        <v>5</v>
      </c>
      <c r="F17" s="34">
        <v>2.2000000000000002</v>
      </c>
      <c r="G17" s="34">
        <f t="shared" si="0"/>
        <v>55.000000000000007</v>
      </c>
    </row>
    <row r="18" spans="1:7" s="11" customFormat="1" ht="130" customHeight="1">
      <c r="A18" s="38"/>
      <c r="B18" s="10" t="s">
        <v>108</v>
      </c>
      <c r="C18" s="33" t="s">
        <v>135</v>
      </c>
      <c r="D18" s="33" t="s">
        <v>140</v>
      </c>
      <c r="E18" s="41" t="s">
        <v>236</v>
      </c>
      <c r="F18" s="34">
        <v>2</v>
      </c>
      <c r="G18" s="34">
        <f>F18*24</f>
        <v>48</v>
      </c>
    </row>
    <row r="19" spans="1:7" s="11" customFormat="1" ht="130" customHeight="1">
      <c r="A19" s="38"/>
      <c r="B19" s="10" t="s">
        <v>145</v>
      </c>
      <c r="C19" s="33" t="s">
        <v>136</v>
      </c>
      <c r="D19" s="33" t="s">
        <v>141</v>
      </c>
      <c r="E19" s="33" t="s">
        <v>5</v>
      </c>
      <c r="F19" s="34">
        <v>3.6</v>
      </c>
      <c r="G19" s="34">
        <f t="shared" si="0"/>
        <v>90</v>
      </c>
    </row>
    <row r="20" spans="1:7" s="11" customFormat="1" ht="130" customHeight="1">
      <c r="A20" s="38"/>
      <c r="B20" s="10" t="s">
        <v>173</v>
      </c>
      <c r="C20" s="33" t="s">
        <v>174</v>
      </c>
      <c r="D20" s="33" t="s">
        <v>175</v>
      </c>
      <c r="E20" s="33" t="s">
        <v>5</v>
      </c>
      <c r="F20" s="34">
        <v>2.4</v>
      </c>
      <c r="G20" s="34">
        <f t="shared" si="0"/>
        <v>60</v>
      </c>
    </row>
    <row r="21" spans="1:7" s="11" customFormat="1" ht="130" customHeight="1">
      <c r="A21" s="38"/>
      <c r="B21" s="10" t="s">
        <v>33</v>
      </c>
      <c r="C21" s="33" t="s">
        <v>157</v>
      </c>
      <c r="D21" s="33" t="s">
        <v>34</v>
      </c>
      <c r="E21" s="33" t="s">
        <v>5</v>
      </c>
      <c r="F21" s="34">
        <v>1.8</v>
      </c>
      <c r="G21" s="34">
        <f t="shared" si="0"/>
        <v>45</v>
      </c>
    </row>
    <row r="22" spans="1:7" s="11" customFormat="1" ht="130" customHeight="1">
      <c r="A22" s="38"/>
      <c r="B22" s="10" t="s">
        <v>35</v>
      </c>
      <c r="C22" s="33" t="s">
        <v>142</v>
      </c>
      <c r="D22" s="33" t="s">
        <v>36</v>
      </c>
      <c r="E22" s="41" t="s">
        <v>236</v>
      </c>
      <c r="F22" s="34">
        <v>2</v>
      </c>
      <c r="G22" s="34">
        <f>F22*24</f>
        <v>48</v>
      </c>
    </row>
    <row r="23" spans="1:7" s="11" customFormat="1" ht="130" customHeight="1">
      <c r="A23" s="38"/>
      <c r="B23" s="10" t="s">
        <v>37</v>
      </c>
      <c r="C23" s="33" t="s">
        <v>38</v>
      </c>
      <c r="D23" s="33" t="s">
        <v>39</v>
      </c>
      <c r="E23" s="33" t="s">
        <v>5</v>
      </c>
      <c r="F23" s="34">
        <v>2.2000000000000002</v>
      </c>
      <c r="G23" s="34">
        <f t="shared" si="0"/>
        <v>55.000000000000007</v>
      </c>
    </row>
    <row r="24" spans="1:7" s="11" customFormat="1" ht="130" customHeight="1">
      <c r="A24" s="38"/>
      <c r="B24" s="10" t="s">
        <v>40</v>
      </c>
      <c r="C24" s="33" t="s">
        <v>41</v>
      </c>
      <c r="D24" s="33" t="s">
        <v>42</v>
      </c>
      <c r="E24" s="33" t="s">
        <v>5</v>
      </c>
      <c r="F24" s="34">
        <v>2.2000000000000002</v>
      </c>
      <c r="G24" s="34">
        <f t="shared" si="0"/>
        <v>55.000000000000007</v>
      </c>
    </row>
    <row r="25" spans="1:7" s="11" customFormat="1" ht="130" customHeight="1">
      <c r="A25" s="39"/>
      <c r="B25" s="10" t="s">
        <v>43</v>
      </c>
      <c r="C25" s="33" t="s">
        <v>44</v>
      </c>
      <c r="D25" s="33" t="s">
        <v>45</v>
      </c>
      <c r="E25" s="33" t="s">
        <v>5</v>
      </c>
      <c r="F25" s="34">
        <v>2.2000000000000002</v>
      </c>
      <c r="G25" s="34">
        <f t="shared" si="0"/>
        <v>55.000000000000007</v>
      </c>
    </row>
    <row r="26" spans="1:7" s="11" customFormat="1" ht="130" customHeight="1">
      <c r="A26" s="40" t="s">
        <v>46</v>
      </c>
      <c r="B26" s="10" t="s">
        <v>206</v>
      </c>
      <c r="C26" s="33" t="s">
        <v>158</v>
      </c>
      <c r="D26" s="33" t="s">
        <v>47</v>
      </c>
      <c r="E26" s="41" t="s">
        <v>236</v>
      </c>
      <c r="F26" s="34">
        <v>3</v>
      </c>
      <c r="G26" s="34">
        <f>F26*24</f>
        <v>72</v>
      </c>
    </row>
    <row r="27" spans="1:7" s="11" customFormat="1" ht="130" customHeight="1">
      <c r="A27" s="40" t="s">
        <v>48</v>
      </c>
      <c r="B27" s="10" t="s">
        <v>207</v>
      </c>
      <c r="C27" s="33" t="s">
        <v>149</v>
      </c>
      <c r="D27" s="33" t="s">
        <v>49</v>
      </c>
      <c r="E27" s="33" t="s">
        <v>5</v>
      </c>
      <c r="F27" s="34">
        <v>4</v>
      </c>
      <c r="G27" s="34">
        <f t="shared" si="0"/>
        <v>100</v>
      </c>
    </row>
    <row r="28" spans="1:7" s="11" customFormat="1" ht="130" customHeight="1">
      <c r="A28" s="36" t="s">
        <v>50</v>
      </c>
      <c r="B28" s="10" t="s">
        <v>208</v>
      </c>
      <c r="C28" s="33" t="s">
        <v>150</v>
      </c>
      <c r="D28" s="33" t="s">
        <v>51</v>
      </c>
      <c r="E28" s="33" t="s">
        <v>5</v>
      </c>
      <c r="F28" s="34">
        <v>2.4</v>
      </c>
      <c r="G28" s="34">
        <f t="shared" si="0"/>
        <v>60</v>
      </c>
    </row>
    <row r="29" spans="1:7" s="11" customFormat="1" ht="130" customHeight="1">
      <c r="A29" s="36"/>
      <c r="B29" s="10" t="s">
        <v>52</v>
      </c>
      <c r="C29" s="33" t="s">
        <v>53</v>
      </c>
      <c r="D29" s="33" t="s">
        <v>54</v>
      </c>
      <c r="E29" s="33" t="s">
        <v>5</v>
      </c>
      <c r="F29" s="34">
        <v>3.2</v>
      </c>
      <c r="G29" s="34">
        <f t="shared" si="0"/>
        <v>80</v>
      </c>
    </row>
    <row r="30" spans="1:7" s="11" customFormat="1" ht="130" customHeight="1">
      <c r="A30" s="36"/>
      <c r="B30" s="10" t="s">
        <v>55</v>
      </c>
      <c r="C30" s="33" t="s">
        <v>56</v>
      </c>
      <c r="D30" s="33" t="s">
        <v>57</v>
      </c>
      <c r="E30" s="33" t="s">
        <v>5</v>
      </c>
      <c r="F30" s="34">
        <v>1.6</v>
      </c>
      <c r="G30" s="34">
        <f t="shared" si="0"/>
        <v>40</v>
      </c>
    </row>
    <row r="31" spans="1:7" s="11" customFormat="1" ht="130" customHeight="1">
      <c r="A31" s="36"/>
      <c r="B31" s="10" t="s">
        <v>58</v>
      </c>
      <c r="C31" s="33" t="s">
        <v>59</v>
      </c>
      <c r="D31" s="33" t="s">
        <v>60</v>
      </c>
      <c r="E31" s="33" t="s">
        <v>5</v>
      </c>
      <c r="F31" s="34">
        <v>2.6</v>
      </c>
      <c r="G31" s="34">
        <f t="shared" si="0"/>
        <v>65</v>
      </c>
    </row>
    <row r="32" spans="1:7" s="11" customFormat="1" ht="130" customHeight="1">
      <c r="A32" s="36" t="s">
        <v>61</v>
      </c>
      <c r="B32" s="10" t="s">
        <v>62</v>
      </c>
      <c r="C32" s="33" t="s">
        <v>63</v>
      </c>
      <c r="D32" s="33" t="s">
        <v>64</v>
      </c>
      <c r="E32" s="33" t="s">
        <v>5</v>
      </c>
      <c r="F32" s="34">
        <v>1.6</v>
      </c>
      <c r="G32" s="34">
        <f t="shared" si="0"/>
        <v>40</v>
      </c>
    </row>
    <row r="33" spans="1:7" s="11" customFormat="1" ht="130" customHeight="1">
      <c r="A33" s="36"/>
      <c r="B33" s="10" t="s">
        <v>65</v>
      </c>
      <c r="C33" s="33" t="s">
        <v>66</v>
      </c>
      <c r="D33" s="33" t="s">
        <v>67</v>
      </c>
      <c r="E33" s="33" t="s">
        <v>5</v>
      </c>
      <c r="F33" s="34">
        <v>1.6</v>
      </c>
      <c r="G33" s="34">
        <f t="shared" si="0"/>
        <v>40</v>
      </c>
    </row>
    <row r="34" spans="1:7" s="11" customFormat="1" ht="130" customHeight="1">
      <c r="A34" s="36"/>
      <c r="B34" s="10" t="s">
        <v>68</v>
      </c>
      <c r="C34" s="33" t="s">
        <v>69</v>
      </c>
      <c r="D34" s="33" t="s">
        <v>70</v>
      </c>
      <c r="E34" s="33" t="s">
        <v>5</v>
      </c>
      <c r="F34" s="34">
        <v>1.4</v>
      </c>
      <c r="G34" s="34">
        <f t="shared" si="0"/>
        <v>35</v>
      </c>
    </row>
    <row r="35" spans="1:7" s="11" customFormat="1" ht="130" customHeight="1">
      <c r="A35" s="36"/>
      <c r="B35" s="10" t="s">
        <v>144</v>
      </c>
      <c r="C35" s="33" t="s">
        <v>71</v>
      </c>
      <c r="D35" s="33" t="s">
        <v>72</v>
      </c>
      <c r="E35" s="33" t="s">
        <v>5</v>
      </c>
      <c r="F35" s="34">
        <v>1.6</v>
      </c>
      <c r="G35" s="34">
        <f t="shared" si="0"/>
        <v>40</v>
      </c>
    </row>
    <row r="36" spans="1:7" s="11" customFormat="1" ht="130" customHeight="1">
      <c r="A36" s="36"/>
      <c r="B36" s="10" t="s">
        <v>143</v>
      </c>
      <c r="C36" s="33" t="s">
        <v>73</v>
      </c>
      <c r="D36" s="33" t="s">
        <v>74</v>
      </c>
      <c r="E36" s="33" t="s">
        <v>5</v>
      </c>
      <c r="F36" s="34">
        <v>1.6</v>
      </c>
      <c r="G36" s="34">
        <f t="shared" si="0"/>
        <v>40</v>
      </c>
    </row>
    <row r="37" spans="1:7" s="11" customFormat="1" ht="130" customHeight="1">
      <c r="A37" s="40" t="s">
        <v>75</v>
      </c>
      <c r="B37" s="10" t="s">
        <v>76</v>
      </c>
      <c r="C37" s="33" t="s">
        <v>159</v>
      </c>
      <c r="D37" s="33" t="s">
        <v>77</v>
      </c>
      <c r="E37" s="33" t="s">
        <v>5</v>
      </c>
      <c r="F37" s="34">
        <v>2.2000000000000002</v>
      </c>
      <c r="G37" s="34">
        <f t="shared" si="0"/>
        <v>55.000000000000007</v>
      </c>
    </row>
    <row r="38" spans="1:7" s="11" customFormat="1" ht="130" customHeight="1">
      <c r="A38" s="40" t="s">
        <v>78</v>
      </c>
      <c r="B38" s="10" t="s">
        <v>209</v>
      </c>
      <c r="C38" s="33" t="s">
        <v>151</v>
      </c>
      <c r="D38" s="33" t="s">
        <v>79</v>
      </c>
      <c r="E38" s="33" t="s">
        <v>5</v>
      </c>
      <c r="F38" s="34">
        <v>2</v>
      </c>
      <c r="G38" s="34">
        <f t="shared" si="0"/>
        <v>50</v>
      </c>
    </row>
    <row r="39" spans="1:7" s="11" customFormat="1" ht="130" customHeight="1">
      <c r="A39" s="36" t="s">
        <v>80</v>
      </c>
      <c r="B39" s="10" t="s">
        <v>210</v>
      </c>
      <c r="C39" s="33" t="s">
        <v>160</v>
      </c>
      <c r="D39" s="33" t="s">
        <v>81</v>
      </c>
      <c r="E39" s="33" t="s">
        <v>5</v>
      </c>
      <c r="F39" s="34">
        <v>2.4</v>
      </c>
      <c r="G39" s="34">
        <f t="shared" si="0"/>
        <v>60</v>
      </c>
    </row>
    <row r="40" spans="1:7" s="11" customFormat="1" ht="130" customHeight="1">
      <c r="A40" s="36"/>
      <c r="B40" s="10" t="s">
        <v>137</v>
      </c>
      <c r="C40" s="33" t="s">
        <v>82</v>
      </c>
      <c r="D40" s="33" t="s">
        <v>83</v>
      </c>
      <c r="E40" s="33" t="s">
        <v>5</v>
      </c>
      <c r="F40" s="34">
        <v>1.6</v>
      </c>
      <c r="G40" s="34">
        <f t="shared" si="0"/>
        <v>40</v>
      </c>
    </row>
    <row r="41" spans="1:7" s="11" customFormat="1" ht="130" customHeight="1">
      <c r="A41" s="12"/>
      <c r="B41" s="10" t="s">
        <v>191</v>
      </c>
      <c r="C41" s="33" t="s">
        <v>190</v>
      </c>
      <c r="D41" s="33" t="s">
        <v>192</v>
      </c>
      <c r="E41" s="33" t="s">
        <v>5</v>
      </c>
      <c r="F41" s="34">
        <v>1.6</v>
      </c>
      <c r="G41" s="34">
        <f t="shared" si="0"/>
        <v>40</v>
      </c>
    </row>
    <row r="42" spans="1:7" s="11" customFormat="1" ht="130" customHeight="1">
      <c r="A42" s="12"/>
      <c r="B42" s="10" t="s">
        <v>179</v>
      </c>
      <c r="C42" s="33" t="s">
        <v>180</v>
      </c>
      <c r="D42" s="33" t="s">
        <v>181</v>
      </c>
      <c r="E42" s="33" t="s">
        <v>5</v>
      </c>
      <c r="F42" s="34">
        <v>2</v>
      </c>
      <c r="G42" s="34">
        <f t="shared" si="0"/>
        <v>50</v>
      </c>
    </row>
    <row r="43" spans="1:7" s="11" customFormat="1" ht="130" customHeight="1">
      <c r="A43" s="12"/>
      <c r="B43" s="10" t="s">
        <v>185</v>
      </c>
      <c r="C43" s="33" t="s">
        <v>186</v>
      </c>
      <c r="D43" s="33" t="s">
        <v>187</v>
      </c>
      <c r="E43" s="33" t="s">
        <v>5</v>
      </c>
      <c r="F43" s="34">
        <v>2.2000000000000002</v>
      </c>
      <c r="G43" s="34">
        <f t="shared" si="0"/>
        <v>55.000000000000007</v>
      </c>
    </row>
    <row r="44" spans="1:7" s="11" customFormat="1" ht="130" customHeight="1">
      <c r="A44" s="12"/>
      <c r="B44" s="10" t="s">
        <v>182</v>
      </c>
      <c r="C44" s="33" t="s">
        <v>183</v>
      </c>
      <c r="D44" s="33" t="s">
        <v>184</v>
      </c>
      <c r="E44" s="33" t="s">
        <v>5</v>
      </c>
      <c r="F44" s="33">
        <v>1.6</v>
      </c>
      <c r="G44" s="34">
        <f t="shared" si="0"/>
        <v>40</v>
      </c>
    </row>
    <row r="45" spans="1:7" s="11" customFormat="1" ht="130" customHeight="1">
      <c r="A45" s="12"/>
      <c r="B45" s="10" t="s">
        <v>84</v>
      </c>
      <c r="C45" s="33" t="s">
        <v>164</v>
      </c>
      <c r="D45" s="33" t="s">
        <v>165</v>
      </c>
      <c r="E45" s="33" t="s">
        <v>5</v>
      </c>
      <c r="F45" s="33">
        <v>1.8</v>
      </c>
      <c r="G45" s="34">
        <f>F45*25</f>
        <v>45</v>
      </c>
    </row>
    <row r="46" spans="1:7" s="11" customFormat="1" ht="130" customHeight="1">
      <c r="A46" s="12"/>
      <c r="B46" s="10" t="s">
        <v>176</v>
      </c>
      <c r="C46" s="33" t="s">
        <v>177</v>
      </c>
      <c r="D46" s="33" t="s">
        <v>178</v>
      </c>
      <c r="E46" s="33" t="s">
        <v>5</v>
      </c>
      <c r="F46" s="33">
        <v>2</v>
      </c>
      <c r="G46" s="34">
        <f>F46*25</f>
        <v>50</v>
      </c>
    </row>
    <row r="47" spans="1:7" s="11" customFormat="1" ht="130" customHeight="1">
      <c r="A47" s="12"/>
      <c r="B47" s="10" t="s">
        <v>86</v>
      </c>
      <c r="C47" s="33" t="s">
        <v>87</v>
      </c>
      <c r="D47" s="33" t="s">
        <v>167</v>
      </c>
      <c r="E47" s="33" t="s">
        <v>5</v>
      </c>
      <c r="F47" s="33">
        <v>2</v>
      </c>
      <c r="G47" s="34">
        <f t="shared" ref="G47" si="1">F47*25</f>
        <v>50</v>
      </c>
    </row>
    <row r="48" spans="1:7" s="11" customFormat="1" ht="130" customHeight="1">
      <c r="A48" s="12"/>
      <c r="B48" s="10" t="s">
        <v>147</v>
      </c>
      <c r="C48" s="33" t="s">
        <v>85</v>
      </c>
      <c r="D48" s="33" t="s">
        <v>166</v>
      </c>
      <c r="E48" s="33" t="s">
        <v>5</v>
      </c>
      <c r="F48" s="33">
        <v>2.2000000000000002</v>
      </c>
      <c r="G48" s="34">
        <f>F48*25</f>
        <v>55.000000000000007</v>
      </c>
    </row>
    <row r="49" spans="1:7" s="11" customFormat="1" ht="130" customHeight="1">
      <c r="A49" s="13"/>
      <c r="B49" s="10" t="s">
        <v>153</v>
      </c>
      <c r="C49" s="33" t="s">
        <v>152</v>
      </c>
      <c r="D49" s="33" t="s">
        <v>168</v>
      </c>
      <c r="E49" s="33" t="s">
        <v>5</v>
      </c>
      <c r="F49" s="33">
        <v>1.6</v>
      </c>
      <c r="G49" s="34">
        <f>F49*25</f>
        <v>40</v>
      </c>
    </row>
    <row r="50" spans="1:7" s="11" customFormat="1" ht="130" customHeight="1">
      <c r="A50" s="35" t="s">
        <v>193</v>
      </c>
      <c r="B50" s="10" t="s">
        <v>194</v>
      </c>
      <c r="C50" s="33" t="s">
        <v>196</v>
      </c>
      <c r="D50" s="33" t="s">
        <v>195</v>
      </c>
      <c r="E50" s="33" t="s">
        <v>5</v>
      </c>
      <c r="F50" s="33">
        <v>2</v>
      </c>
      <c r="G50" s="34">
        <f>F50*25</f>
        <v>50</v>
      </c>
    </row>
    <row r="51" spans="1:7" s="11" customFormat="1" ht="130" customHeight="1">
      <c r="A51" s="37" t="s">
        <v>188</v>
      </c>
      <c r="B51" s="10" t="s">
        <v>211</v>
      </c>
      <c r="C51" s="33" t="s">
        <v>154</v>
      </c>
      <c r="D51" s="33" t="s">
        <v>169</v>
      </c>
      <c r="E51" s="41" t="s">
        <v>189</v>
      </c>
      <c r="F51" s="33">
        <v>3</v>
      </c>
      <c r="G51" s="34">
        <f>F51*24</f>
        <v>72</v>
      </c>
    </row>
    <row r="52" spans="1:7" s="11" customFormat="1" ht="130" customHeight="1">
      <c r="A52" s="39"/>
      <c r="B52" s="10" t="s">
        <v>170</v>
      </c>
      <c r="C52" s="33" t="s">
        <v>155</v>
      </c>
      <c r="D52" s="33" t="s">
        <v>171</v>
      </c>
      <c r="E52" s="41" t="s">
        <v>172</v>
      </c>
      <c r="F52" s="33">
        <v>3</v>
      </c>
      <c r="G52" s="34">
        <f>F52*24</f>
        <v>72</v>
      </c>
    </row>
    <row r="53" spans="1:7" s="9" customFormat="1" ht="130" customHeight="1">
      <c r="A53" s="37" t="s">
        <v>212</v>
      </c>
      <c r="B53" s="10" t="s">
        <v>213</v>
      </c>
      <c r="C53" s="33" t="s">
        <v>214</v>
      </c>
      <c r="D53" s="33" t="s">
        <v>215</v>
      </c>
      <c r="E53" s="33" t="s">
        <v>235</v>
      </c>
      <c r="F53" s="33">
        <v>5.6</v>
      </c>
      <c r="G53" s="34">
        <f>F53*25</f>
        <v>140</v>
      </c>
    </row>
    <row r="54" spans="1:7" s="9" customFormat="1" ht="130" customHeight="1">
      <c r="A54" s="38"/>
      <c r="B54" s="10" t="s">
        <v>216</v>
      </c>
      <c r="C54" s="33" t="s">
        <v>217</v>
      </c>
      <c r="D54" s="33" t="s">
        <v>218</v>
      </c>
      <c r="E54" s="33" t="s">
        <v>235</v>
      </c>
      <c r="F54" s="33">
        <v>5.6</v>
      </c>
      <c r="G54" s="34">
        <f t="shared" ref="G54:G58" si="2">F54*25</f>
        <v>140</v>
      </c>
    </row>
    <row r="55" spans="1:7" s="9" customFormat="1" ht="130" customHeight="1">
      <c r="A55" s="38"/>
      <c r="B55" s="10" t="s">
        <v>219</v>
      </c>
      <c r="C55" s="33" t="s">
        <v>220</v>
      </c>
      <c r="D55" s="33" t="s">
        <v>221</v>
      </c>
      <c r="E55" s="33" t="s">
        <v>235</v>
      </c>
      <c r="F55" s="33">
        <v>5.6</v>
      </c>
      <c r="G55" s="34">
        <f t="shared" si="2"/>
        <v>140</v>
      </c>
    </row>
    <row r="56" spans="1:7" s="9" customFormat="1" ht="130" customHeight="1">
      <c r="A56" s="38"/>
      <c r="B56" s="10" t="s">
        <v>222</v>
      </c>
      <c r="C56" s="33" t="s">
        <v>223</v>
      </c>
      <c r="D56" s="33" t="s">
        <v>224</v>
      </c>
      <c r="E56" s="33" t="s">
        <v>235</v>
      </c>
      <c r="F56" s="33">
        <v>5.6</v>
      </c>
      <c r="G56" s="34">
        <f t="shared" si="2"/>
        <v>140</v>
      </c>
    </row>
    <row r="57" spans="1:7" s="9" customFormat="1" ht="130" customHeight="1">
      <c r="A57" s="39"/>
      <c r="B57" s="10" t="s">
        <v>225</v>
      </c>
      <c r="C57" s="33" t="s">
        <v>226</v>
      </c>
      <c r="D57" s="33" t="s">
        <v>227</v>
      </c>
      <c r="E57" s="33" t="s">
        <v>235</v>
      </c>
      <c r="F57" s="33">
        <v>5.6</v>
      </c>
      <c r="G57" s="34">
        <f t="shared" si="2"/>
        <v>140</v>
      </c>
    </row>
    <row r="58" spans="1:7" s="9" customFormat="1" ht="130" customHeight="1">
      <c r="A58" s="37" t="s">
        <v>228</v>
      </c>
      <c r="B58" s="10" t="s">
        <v>229</v>
      </c>
      <c r="C58" s="33" t="s">
        <v>230</v>
      </c>
      <c r="D58" s="33" t="s">
        <v>231</v>
      </c>
      <c r="E58" s="33" t="s">
        <v>235</v>
      </c>
      <c r="F58" s="33">
        <v>3</v>
      </c>
      <c r="G58" s="34">
        <f t="shared" si="2"/>
        <v>75</v>
      </c>
    </row>
    <row r="59" spans="1:7" s="9" customFormat="1" ht="130" customHeight="1">
      <c r="A59" s="39"/>
      <c r="B59" s="10" t="s">
        <v>232</v>
      </c>
      <c r="C59" s="33" t="s">
        <v>233</v>
      </c>
      <c r="D59" s="33" t="s">
        <v>234</v>
      </c>
      <c r="E59" s="33" t="s">
        <v>235</v>
      </c>
      <c r="F59" s="33">
        <v>3</v>
      </c>
      <c r="G59" s="34">
        <f>F59*25</f>
        <v>75</v>
      </c>
    </row>
  </sheetData>
  <sortState xmlns:xlrd2="http://schemas.microsoft.com/office/spreadsheetml/2017/richdata2" ref="B10:H87">
    <sortCondition ref="D9:D87"/>
  </sortState>
  <mergeCells count="16">
    <mergeCell ref="A17:A25"/>
    <mergeCell ref="A6:A10"/>
    <mergeCell ref="A11:A16"/>
    <mergeCell ref="B1:G1"/>
    <mergeCell ref="A4:E4"/>
    <mergeCell ref="A5:E5"/>
    <mergeCell ref="C2:E2"/>
    <mergeCell ref="F4:G4"/>
    <mergeCell ref="F5:G5"/>
    <mergeCell ref="A51:A52"/>
    <mergeCell ref="A28:A31"/>
    <mergeCell ref="A32:A36"/>
    <mergeCell ref="A39:A40"/>
    <mergeCell ref="A53:A57"/>
    <mergeCell ref="A58:A59"/>
    <mergeCell ref="A41:A49"/>
  </mergeCells>
  <phoneticPr fontId="6" type="noConversion"/>
  <printOptions horizontalCentered="1" verticalCentered="1"/>
  <pageMargins left="0.31496062992125984" right="0.31496062992125984" top="0.39370078740157483" bottom="0.39370078740157483" header="0.51181102362204722" footer="0.51181102362204722"/>
  <pageSetup paperSize="9" scale="20"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K20"/>
  <sheetViews>
    <sheetView workbookViewId="0">
      <selection activeCell="L7" sqref="L7"/>
    </sheetView>
  </sheetViews>
  <sheetFormatPr defaultColWidth="9" defaultRowHeight="15.3"/>
  <sheetData>
    <row r="3" spans="1:8" s="1" customFormat="1" ht="28.05" customHeight="1">
      <c r="A3" s="3" t="s">
        <v>88</v>
      </c>
      <c r="B3" s="3" t="s">
        <v>89</v>
      </c>
      <c r="C3" s="4"/>
      <c r="D3" s="4"/>
      <c r="E3" s="4" t="s">
        <v>90</v>
      </c>
      <c r="F3" s="4" t="s">
        <v>91</v>
      </c>
      <c r="G3" s="4" t="s">
        <v>5</v>
      </c>
      <c r="H3" s="5"/>
    </row>
    <row r="4" spans="1:8" s="1" customFormat="1" ht="28.05" customHeight="1">
      <c r="A4" s="3" t="s">
        <v>92</v>
      </c>
      <c r="B4" s="3" t="s">
        <v>93</v>
      </c>
      <c r="C4" s="4"/>
      <c r="D4" s="4"/>
      <c r="E4" s="4" t="s">
        <v>94</v>
      </c>
      <c r="F4" s="4" t="s">
        <v>91</v>
      </c>
      <c r="G4" s="4" t="s">
        <v>5</v>
      </c>
      <c r="H4" s="5"/>
    </row>
    <row r="5" spans="1:8" s="1" customFormat="1" ht="28.05" customHeight="1">
      <c r="A5" s="3" t="s">
        <v>95</v>
      </c>
      <c r="B5" s="3" t="s">
        <v>96</v>
      </c>
      <c r="C5" s="4"/>
      <c r="D5" s="4"/>
      <c r="E5" s="4" t="s">
        <v>97</v>
      </c>
      <c r="F5" s="4" t="s">
        <v>91</v>
      </c>
      <c r="G5" s="4" t="s">
        <v>5</v>
      </c>
      <c r="H5" s="5"/>
    </row>
    <row r="6" spans="1:8" s="1" customFormat="1" ht="28.05" customHeight="1">
      <c r="A6" s="3" t="s">
        <v>98</v>
      </c>
      <c r="B6" s="3" t="s">
        <v>99</v>
      </c>
      <c r="C6" s="4"/>
      <c r="D6" s="4"/>
      <c r="E6" s="4" t="s">
        <v>100</v>
      </c>
      <c r="F6" s="4" t="s">
        <v>91</v>
      </c>
      <c r="G6" s="4" t="s">
        <v>5</v>
      </c>
      <c r="H6" s="5"/>
    </row>
    <row r="7" spans="1:8" s="1" customFormat="1" ht="28.05" customHeight="1">
      <c r="A7" s="3" t="s">
        <v>101</v>
      </c>
      <c r="B7" s="3" t="s">
        <v>102</v>
      </c>
      <c r="C7" s="4"/>
      <c r="D7" s="4"/>
      <c r="E7" s="4" t="s">
        <v>103</v>
      </c>
      <c r="F7" s="4" t="s">
        <v>91</v>
      </c>
      <c r="G7" s="4" t="s">
        <v>5</v>
      </c>
      <c r="H7" s="5"/>
    </row>
    <row r="8" spans="1:8" s="1" customFormat="1" ht="28.05" customHeight="1">
      <c r="A8" s="3" t="s">
        <v>104</v>
      </c>
      <c r="B8" s="3" t="s">
        <v>105</v>
      </c>
      <c r="C8" s="4"/>
      <c r="D8" s="4"/>
      <c r="E8" s="4" t="s">
        <v>106</v>
      </c>
      <c r="F8" s="4" t="s">
        <v>91</v>
      </c>
      <c r="G8" s="4" t="s">
        <v>5</v>
      </c>
      <c r="H8" s="5"/>
    </row>
    <row r="9" spans="1:8" s="1" customFormat="1" ht="28.05" customHeight="1">
      <c r="A9" s="3" t="s">
        <v>107</v>
      </c>
      <c r="B9" s="3" t="s">
        <v>108</v>
      </c>
      <c r="C9" s="4"/>
      <c r="D9" s="4"/>
      <c r="E9" s="4" t="s">
        <v>109</v>
      </c>
      <c r="F9" s="4" t="s">
        <v>91</v>
      </c>
      <c r="G9" s="4" t="s">
        <v>5</v>
      </c>
      <c r="H9" s="5"/>
    </row>
    <row r="10" spans="1:8" s="1" customFormat="1" ht="28.05" customHeight="1">
      <c r="A10" s="3" t="s">
        <v>110</v>
      </c>
      <c r="B10" s="3" t="s">
        <v>111</v>
      </c>
      <c r="C10" s="4"/>
      <c r="D10" s="4"/>
      <c r="E10" s="4" t="s">
        <v>112</v>
      </c>
      <c r="F10" s="4" t="s">
        <v>91</v>
      </c>
      <c r="G10" s="4" t="s">
        <v>5</v>
      </c>
      <c r="H10" s="5"/>
    </row>
    <row r="11" spans="1:8" s="1" customFormat="1" ht="28.05" customHeight="1">
      <c r="A11" s="3" t="s">
        <v>113</v>
      </c>
      <c r="B11" s="3" t="s">
        <v>114</v>
      </c>
      <c r="C11" s="4"/>
      <c r="D11" s="4"/>
      <c r="E11" s="4" t="s">
        <v>115</v>
      </c>
      <c r="F11" s="4" t="s">
        <v>91</v>
      </c>
      <c r="G11" s="4" t="s">
        <v>5</v>
      </c>
      <c r="H11" s="5"/>
    </row>
    <row r="12" spans="1:8" s="1" customFormat="1" ht="28.05" customHeight="1">
      <c r="A12" s="3" t="s">
        <v>23</v>
      </c>
      <c r="B12" s="3" t="s">
        <v>22</v>
      </c>
      <c r="C12" s="4"/>
      <c r="D12" s="4"/>
      <c r="E12" s="4" t="s">
        <v>116</v>
      </c>
      <c r="F12" s="4" t="s">
        <v>91</v>
      </c>
      <c r="G12" s="4" t="s">
        <v>5</v>
      </c>
      <c r="H12" s="5"/>
    </row>
    <row r="13" spans="1:8" s="1" customFormat="1" ht="28.05" customHeight="1">
      <c r="A13" s="3" t="s">
        <v>26</v>
      </c>
      <c r="B13" s="3" t="s">
        <v>25</v>
      </c>
      <c r="C13" s="4"/>
      <c r="D13" s="4"/>
      <c r="E13" s="4" t="s">
        <v>24</v>
      </c>
      <c r="F13" s="4" t="s">
        <v>91</v>
      </c>
      <c r="G13" s="4" t="s">
        <v>5</v>
      </c>
      <c r="H13" s="5"/>
    </row>
    <row r="14" spans="1:8" s="1" customFormat="1" ht="28.05" customHeight="1">
      <c r="A14" s="3" t="s">
        <v>117</v>
      </c>
      <c r="B14" s="3" t="s">
        <v>118</v>
      </c>
      <c r="C14" s="4"/>
      <c r="D14" s="4"/>
      <c r="E14" s="4" t="s">
        <v>27</v>
      </c>
      <c r="F14" s="4" t="s">
        <v>91</v>
      </c>
      <c r="G14" s="4" t="s">
        <v>5</v>
      </c>
      <c r="H14" s="5"/>
    </row>
    <row r="15" spans="1:8" s="1" customFormat="1" ht="28.05" customHeight="1">
      <c r="A15" s="3" t="s">
        <v>119</v>
      </c>
      <c r="B15" s="3" t="s">
        <v>120</v>
      </c>
      <c r="C15" s="4"/>
      <c r="D15" s="4"/>
      <c r="E15" s="4" t="s">
        <v>121</v>
      </c>
      <c r="F15" s="4" t="s">
        <v>91</v>
      </c>
      <c r="G15" s="4" t="s">
        <v>5</v>
      </c>
      <c r="H15" s="5"/>
    </row>
    <row r="16" spans="1:8" s="1" customFormat="1" ht="28.05" customHeight="1">
      <c r="A16" s="3" t="s">
        <v>122</v>
      </c>
      <c r="B16" s="3" t="s">
        <v>123</v>
      </c>
      <c r="C16" s="4"/>
      <c r="D16" s="4"/>
      <c r="E16" s="4" t="s">
        <v>124</v>
      </c>
      <c r="F16" s="4" t="s">
        <v>91</v>
      </c>
      <c r="G16" s="4" t="s">
        <v>5</v>
      </c>
      <c r="H16" s="5"/>
    </row>
    <row r="17" spans="1:245" s="1" customFormat="1" ht="28.05" customHeight="1">
      <c r="A17" s="3" t="s">
        <v>125</v>
      </c>
      <c r="B17" s="3" t="s">
        <v>126</v>
      </c>
      <c r="C17" s="4"/>
      <c r="D17" s="4"/>
      <c r="E17" s="4" t="s">
        <v>127</v>
      </c>
      <c r="F17" s="4" t="s">
        <v>91</v>
      </c>
      <c r="G17" s="4" t="s">
        <v>5</v>
      </c>
      <c r="H17" s="5"/>
    </row>
    <row r="18" spans="1:245" s="1" customFormat="1" ht="27" customHeight="1">
      <c r="A18" s="3" t="s">
        <v>128</v>
      </c>
      <c r="B18" s="3" t="s">
        <v>129</v>
      </c>
      <c r="C18" s="4"/>
      <c r="D18" s="4"/>
      <c r="E18" s="4" t="s">
        <v>77</v>
      </c>
      <c r="F18" s="4" t="s">
        <v>91</v>
      </c>
      <c r="G18" s="4" t="s">
        <v>5</v>
      </c>
      <c r="H18" s="5"/>
    </row>
    <row r="19" spans="1:245" s="2" customFormat="1" ht="27" customHeight="1">
      <c r="A19" s="3" t="s">
        <v>29</v>
      </c>
      <c r="B19" s="3" t="s">
        <v>28</v>
      </c>
      <c r="C19" s="4"/>
      <c r="D19" s="4"/>
      <c r="E19" s="4" t="s">
        <v>21</v>
      </c>
      <c r="F19" s="4" t="s">
        <v>91</v>
      </c>
      <c r="G19" s="4" t="s">
        <v>5</v>
      </c>
      <c r="H19" s="5"/>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row>
    <row r="20" spans="1:245" s="2" customFormat="1" ht="27" customHeight="1">
      <c r="A20" s="3" t="s">
        <v>130</v>
      </c>
      <c r="B20" s="3" t="s">
        <v>31</v>
      </c>
      <c r="C20" s="4"/>
      <c r="D20" s="4"/>
      <c r="E20" s="4" t="s">
        <v>30</v>
      </c>
      <c r="F20" s="4" t="s">
        <v>91</v>
      </c>
      <c r="G20" s="4" t="s">
        <v>5</v>
      </c>
      <c r="H20" s="5"/>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FIAPresto</vt:lpstr>
      <vt:lpstr>Sheet1</vt:lpstr>
      <vt:lpstr>FIAPresto!Print_Area</vt:lpstr>
    </vt:vector>
  </TitlesOfParts>
  <Company>EDAN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Cipher</dc:creator>
  <cp:lastModifiedBy>Kobe Zheng</cp:lastModifiedBy>
  <cp:lastPrinted>2023-05-08T12:39:13Z</cp:lastPrinted>
  <dcterms:created xsi:type="dcterms:W3CDTF">2008-07-20T17:34:00Z</dcterms:created>
  <dcterms:modified xsi:type="dcterms:W3CDTF">2023-10-27T05:59:44Z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2052-5.3.0.7872</vt:lpwstr>
  </property>
  <property fmtid="{D5CDD505-2E9C-101B-9397-08002B2CF9AE}" pid="3" name="ICV">
    <vt:lpwstr>2A9F7B2742FF6A61C521B96252AB1B40</vt:lpwstr>
  </property>
</Properties>
</file>